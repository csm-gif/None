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ding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1" authorId="0">
      <text>
        <r>
          <rPr>
            <sz val="10"/>
            <rFont val="Arial"/>
            <family val="2"/>
          </rPr>
          <t xml:space="preserve">BS&amp;W rate as stated on the source document (0.05%)</t>
        </r>
      </text>
    </comment>
    <comment ref="F60" authorId="0">
      <text>
        <r>
          <rPr>
            <sz val="10"/>
            <rFont val="Arial"/>
            <family val="2"/>
          </rPr>
          <t xml:space="preserve">Gross litres / 159 L per bbl, as in the source (summing the rounded row values gives 15,007.63)</t>
        </r>
      </text>
    </comment>
  </commentList>
</comments>
</file>

<file path=xl/sharedStrings.xml><?xml version="1.0" encoding="utf-8"?>
<sst xmlns="http://schemas.openxmlformats.org/spreadsheetml/2006/main" count="236" uniqueCount="121">
  <si>
    <t xml:space="preserve">CONDENSATE TRUCK LOADING SUMMARY FROM 3RD TO 29TH JULY 2026 - SUPPLY TO AMIRA JAS</t>
  </si>
  <si>
    <t xml:space="preserve">S/N</t>
  </si>
  <si>
    <t xml:space="preserve">TRUCKING COMPANY</t>
  </si>
  <si>
    <t xml:space="preserve">TRUCK NO.</t>
  </si>
  <si>
    <t xml:space="preserve">DRIVER</t>
  </si>
  <si>
    <t xml:space="preserve">QTY (LTRS)</t>
  </si>
  <si>
    <t xml:space="preserve">QTY (BBLS)</t>
  </si>
  <si>
    <t xml:space="preserve">ORDER NO.</t>
  </si>
  <si>
    <t xml:space="preserve">EBENCO</t>
  </si>
  <si>
    <t xml:space="preserve">LEH 53 YG</t>
  </si>
  <si>
    <t xml:space="preserve">ADAMS ISMAIL</t>
  </si>
  <si>
    <t xml:space="preserve">AGPC20260183</t>
  </si>
  <si>
    <t xml:space="preserve">DKA 408 XY</t>
  </si>
  <si>
    <t xml:space="preserve">ALI MUSA</t>
  </si>
  <si>
    <t xml:space="preserve">AGPC20260184</t>
  </si>
  <si>
    <t xml:space="preserve">KLK 913 XA</t>
  </si>
  <si>
    <t xml:space="preserve">YAKUBU SHUAIBU</t>
  </si>
  <si>
    <t xml:space="preserve">AGPC20260185</t>
  </si>
  <si>
    <t xml:space="preserve">DKA 404 XY</t>
  </si>
  <si>
    <t xml:space="preserve">ZUBAIRU HARUNA</t>
  </si>
  <si>
    <t xml:space="preserve">AGPC20260186</t>
  </si>
  <si>
    <t xml:space="preserve">KRD 721 YF</t>
  </si>
  <si>
    <t xml:space="preserve">NAZIRU ABDULLAHI</t>
  </si>
  <si>
    <t xml:space="preserve">AGPC20260187</t>
  </si>
  <si>
    <t xml:space="preserve">KRD 719 YF</t>
  </si>
  <si>
    <t xml:space="preserve">RABIU BELLO</t>
  </si>
  <si>
    <t xml:space="preserve">AGPC20260188</t>
  </si>
  <si>
    <t xml:space="preserve">KRD 722 YF</t>
  </si>
  <si>
    <t xml:space="preserve">MUSA OSENI</t>
  </si>
  <si>
    <t xml:space="preserve">AGPC20260189</t>
  </si>
  <si>
    <t xml:space="preserve">KRD 720 YF</t>
  </si>
  <si>
    <t xml:space="preserve">MOHAMMED HARUNA</t>
  </si>
  <si>
    <t xml:space="preserve">AGPC20260190</t>
  </si>
  <si>
    <t xml:space="preserve">KRD 718 YF</t>
  </si>
  <si>
    <t xml:space="preserve">ALIYU SHUAIBU</t>
  </si>
  <si>
    <t xml:space="preserve">AGPC20260192</t>
  </si>
  <si>
    <t xml:space="preserve">HJA 998 YD</t>
  </si>
  <si>
    <t xml:space="preserve">SULAIMAN MOHAMMED</t>
  </si>
  <si>
    <t xml:space="preserve">AGPC20260228</t>
  </si>
  <si>
    <t xml:space="preserve">SML 936 XA</t>
  </si>
  <si>
    <t xml:space="preserve">NURA ABDULLAHI</t>
  </si>
  <si>
    <t xml:space="preserve">AGPC20260229</t>
  </si>
  <si>
    <t xml:space="preserve">HJA 759 YD</t>
  </si>
  <si>
    <t xml:space="preserve">AHMED HALILU</t>
  </si>
  <si>
    <t xml:space="preserve">AGPC20260230</t>
  </si>
  <si>
    <t xml:space="preserve">HJA 69 XR</t>
  </si>
  <si>
    <t xml:space="preserve">ADAMU MUSA</t>
  </si>
  <si>
    <t xml:space="preserve">AGPC20260231</t>
  </si>
  <si>
    <t xml:space="preserve">KZR 922 XR</t>
  </si>
  <si>
    <t xml:space="preserve">MUHAMMADU BELLO</t>
  </si>
  <si>
    <t xml:space="preserve">AGPC20260232</t>
  </si>
  <si>
    <t xml:space="preserve">RNG 921 XC</t>
  </si>
  <si>
    <t xml:space="preserve">SANI HAMZA</t>
  </si>
  <si>
    <t xml:space="preserve">AGPC20260233</t>
  </si>
  <si>
    <t xml:space="preserve">GRM 822 XA</t>
  </si>
  <si>
    <t xml:space="preserve">ABUBAKAR ADAMU</t>
  </si>
  <si>
    <t xml:space="preserve">AGPC20260234</t>
  </si>
  <si>
    <t xml:space="preserve">BKD 779 XA</t>
  </si>
  <si>
    <t xml:space="preserve">HABIBU ISAH</t>
  </si>
  <si>
    <t xml:space="preserve">AGPC20260235</t>
  </si>
  <si>
    <t xml:space="preserve">KZR 921 ZR</t>
  </si>
  <si>
    <t xml:space="preserve">SANI ISAH</t>
  </si>
  <si>
    <t xml:space="preserve">AGPC20260236</t>
  </si>
  <si>
    <t xml:space="preserve">JHN 988 XA</t>
  </si>
  <si>
    <t xml:space="preserve">BUHARI IBRAHIM</t>
  </si>
  <si>
    <t xml:space="preserve">AGPC20260237</t>
  </si>
  <si>
    <t xml:space="preserve">AGPC20260238</t>
  </si>
  <si>
    <t xml:space="preserve">AGPC20260239</t>
  </si>
  <si>
    <t xml:space="preserve">AGPC20260240</t>
  </si>
  <si>
    <t xml:space="preserve">AGPC20260241</t>
  </si>
  <si>
    <t xml:space="preserve">AGPC20260242</t>
  </si>
  <si>
    <t xml:space="preserve">AGPC20260243</t>
  </si>
  <si>
    <t xml:space="preserve">AGPC20260244</t>
  </si>
  <si>
    <t xml:space="preserve">AGPC20260245</t>
  </si>
  <si>
    <t xml:space="preserve">AGPC20260246</t>
  </si>
  <si>
    <t xml:space="preserve">DKA 403 XY</t>
  </si>
  <si>
    <t xml:space="preserve">MOHAMMED SODIQ</t>
  </si>
  <si>
    <t xml:space="preserve">AGPC20260247</t>
  </si>
  <si>
    <t xml:space="preserve">AGPC20260248</t>
  </si>
  <si>
    <t xml:space="preserve">AGPC20260249</t>
  </si>
  <si>
    <t xml:space="preserve">AGPC20260250</t>
  </si>
  <si>
    <t xml:space="preserve">AGPC20260251</t>
  </si>
  <si>
    <t xml:space="preserve">AGPC20260252</t>
  </si>
  <si>
    <t xml:space="preserve">AGPC20260253</t>
  </si>
  <si>
    <t xml:space="preserve">AGPC20260254</t>
  </si>
  <si>
    <t xml:space="preserve">AGPC20260255</t>
  </si>
  <si>
    <t xml:space="preserve">AGPC20260256</t>
  </si>
  <si>
    <t xml:space="preserve">AGPC20260257</t>
  </si>
  <si>
    <t xml:space="preserve">AGPC20260258</t>
  </si>
  <si>
    <t xml:space="preserve">AGPC20260259</t>
  </si>
  <si>
    <t xml:space="preserve">AGPC20260261</t>
  </si>
  <si>
    <t xml:space="preserve">AGPC20260262</t>
  </si>
  <si>
    <t xml:space="preserve">EBENCO GLOBAL</t>
  </si>
  <si>
    <t xml:space="preserve">LEH53YG</t>
  </si>
  <si>
    <t xml:space="preserve">AGPC20260268</t>
  </si>
  <si>
    <t xml:space="preserve">AGPC20260273</t>
  </si>
  <si>
    <t xml:space="preserve">MOHAMMED MOHAMMED</t>
  </si>
  <si>
    <t xml:space="preserve">AGPC20260274</t>
  </si>
  <si>
    <t xml:space="preserve">AGPC20260279</t>
  </si>
  <si>
    <t xml:space="preserve">EBENCO GLOBAL LINKS LTD</t>
  </si>
  <si>
    <t xml:space="preserve">KDR721YF</t>
  </si>
  <si>
    <t xml:space="preserve">AGPC20260309</t>
  </si>
  <si>
    <t xml:space="preserve">SML936XA</t>
  </si>
  <si>
    <t xml:space="preserve">AGPC20260310</t>
  </si>
  <si>
    <t xml:space="preserve">KDR719YF</t>
  </si>
  <si>
    <t xml:space="preserve">AGPC20260311</t>
  </si>
  <si>
    <t xml:space="preserve">KDR720YF</t>
  </si>
  <si>
    <t xml:space="preserve">AGPC20260312</t>
  </si>
  <si>
    <t xml:space="preserve">RNG921XC</t>
  </si>
  <si>
    <t xml:space="preserve">AGPC20260313</t>
  </si>
  <si>
    <t xml:space="preserve">GRM822XA</t>
  </si>
  <si>
    <t xml:space="preserve">AGPC20260314</t>
  </si>
  <si>
    <t xml:space="preserve">EBENCO GLOBAL LINKS LTD, KOKO BEACH WARRI</t>
  </si>
  <si>
    <t xml:space="preserve">HJA998YD</t>
  </si>
  <si>
    <t xml:space="preserve">AGPC20260340</t>
  </si>
  <si>
    <t xml:space="preserve">KRD718YF</t>
  </si>
  <si>
    <t xml:space="preserve">AGPC20260341</t>
  </si>
  <si>
    <t xml:space="preserve">GROSS TOTAL</t>
  </si>
  <si>
    <t xml:space="preserve">BS&amp;W</t>
  </si>
  <si>
    <t xml:space="preserve">NET TOTAL</t>
  </si>
  <si>
    <t xml:space="preserve">Note: transcribed from a scanned image. Row 47 driver name was cut off in the source ('MOHAMMED MOHAMM...').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</si>
</sst>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s">
        <v>8</v>
      </c>
      <c r="C4" s="3" t="s">
        <v>9</v>
      </c>
      <c r="D4" s="3" t="s">
        <v>10</v>
      </c>
      <c r="E4" s="4" t="n">
        <v>40069</v>
      </c>
      <c r="F4" s="5" t="n">
        <v>252.01</v>
      </c>
      <c r="G4" s="3" t="s">
        <v>11</v>
      </c>
    </row>
    <row r="5" customFormat="false" ht="15" hidden="false" customHeight="false" outlineLevel="0" collapsed="false">
      <c r="A5" s="3" t="n">
        <v>2</v>
      </c>
      <c r="B5" s="3" t="s">
        <v>8</v>
      </c>
      <c r="C5" s="3" t="s">
        <v>12</v>
      </c>
      <c r="D5" s="3" t="s">
        <v>13</v>
      </c>
      <c r="E5" s="4" t="n">
        <v>40001</v>
      </c>
      <c r="F5" s="5" t="n">
        <v>251.58</v>
      </c>
      <c r="G5" s="3" t="s">
        <v>14</v>
      </c>
    </row>
    <row r="6" customFormat="false" ht="15" hidden="false" customHeight="false" outlineLevel="0" collapsed="false">
      <c r="A6" s="3" t="n">
        <v>3</v>
      </c>
      <c r="B6" s="3" t="s">
        <v>8</v>
      </c>
      <c r="C6" s="3" t="s">
        <v>15</v>
      </c>
      <c r="D6" s="3" t="s">
        <v>16</v>
      </c>
      <c r="E6" s="4" t="n">
        <v>37560</v>
      </c>
      <c r="F6" s="5" t="n">
        <v>236.23</v>
      </c>
      <c r="G6" s="3" t="s">
        <v>17</v>
      </c>
    </row>
    <row r="7" customFormat="false" ht="15" hidden="false" customHeight="false" outlineLevel="0" collapsed="false">
      <c r="A7" s="3" t="n">
        <v>4</v>
      </c>
      <c r="B7" s="3" t="s">
        <v>8</v>
      </c>
      <c r="C7" s="3" t="s">
        <v>18</v>
      </c>
      <c r="D7" s="3" t="s">
        <v>19</v>
      </c>
      <c r="E7" s="4" t="n">
        <v>40000</v>
      </c>
      <c r="F7" s="5" t="n">
        <v>251.57</v>
      </c>
      <c r="G7" s="3" t="s">
        <v>20</v>
      </c>
    </row>
    <row r="8" customFormat="false" ht="15" hidden="false" customHeight="false" outlineLevel="0" collapsed="false">
      <c r="A8" s="3" t="n">
        <v>5</v>
      </c>
      <c r="B8" s="3" t="s">
        <v>8</v>
      </c>
      <c r="C8" s="3" t="s">
        <v>21</v>
      </c>
      <c r="D8" s="3" t="s">
        <v>22</v>
      </c>
      <c r="E8" s="4" t="n">
        <v>44979</v>
      </c>
      <c r="F8" s="5" t="n">
        <v>282.89</v>
      </c>
      <c r="G8" s="3" t="s">
        <v>23</v>
      </c>
    </row>
    <row r="9" customFormat="false" ht="15" hidden="false" customHeight="false" outlineLevel="0" collapsed="false">
      <c r="A9" s="3" t="n">
        <v>6</v>
      </c>
      <c r="B9" s="3" t="s">
        <v>8</v>
      </c>
      <c r="C9" s="3" t="s">
        <v>24</v>
      </c>
      <c r="D9" s="3" t="s">
        <v>25</v>
      </c>
      <c r="E9" s="4" t="n">
        <v>45020</v>
      </c>
      <c r="F9" s="5" t="n">
        <v>283.14</v>
      </c>
      <c r="G9" s="3" t="s">
        <v>26</v>
      </c>
    </row>
    <row r="10" customFormat="false" ht="15" hidden="false" customHeight="false" outlineLevel="0" collapsed="false">
      <c r="A10" s="3" t="n">
        <v>7</v>
      </c>
      <c r="B10" s="3" t="s">
        <v>8</v>
      </c>
      <c r="C10" s="3" t="s">
        <v>27</v>
      </c>
      <c r="D10" s="3" t="s">
        <v>28</v>
      </c>
      <c r="E10" s="4" t="n">
        <v>44980</v>
      </c>
      <c r="F10" s="5" t="n">
        <v>282.89</v>
      </c>
      <c r="G10" s="3" t="s">
        <v>29</v>
      </c>
    </row>
    <row r="11" customFormat="false" ht="15" hidden="false" customHeight="false" outlineLevel="0" collapsed="false">
      <c r="A11" s="3" t="n">
        <v>8</v>
      </c>
      <c r="B11" s="3" t="s">
        <v>8</v>
      </c>
      <c r="C11" s="3" t="s">
        <v>30</v>
      </c>
      <c r="D11" s="3" t="s">
        <v>31</v>
      </c>
      <c r="E11" s="4" t="n">
        <v>45033</v>
      </c>
      <c r="F11" s="5" t="n">
        <v>283.23</v>
      </c>
      <c r="G11" s="3" t="s">
        <v>32</v>
      </c>
    </row>
    <row r="12" customFormat="false" ht="15" hidden="false" customHeight="false" outlineLevel="0" collapsed="false">
      <c r="A12" s="3" t="n">
        <v>9</v>
      </c>
      <c r="B12" s="3" t="s">
        <v>8</v>
      </c>
      <c r="C12" s="3" t="s">
        <v>33</v>
      </c>
      <c r="D12" s="3" t="s">
        <v>34</v>
      </c>
      <c r="E12" s="4" t="n">
        <v>45001</v>
      </c>
      <c r="F12" s="5" t="n">
        <v>283.03</v>
      </c>
      <c r="G12" s="3" t="s">
        <v>35</v>
      </c>
    </row>
    <row r="13" customFormat="false" ht="15" hidden="false" customHeight="false" outlineLevel="0" collapsed="false">
      <c r="A13" s="3" t="n">
        <v>10</v>
      </c>
      <c r="B13" s="3" t="s">
        <v>8</v>
      </c>
      <c r="C13" s="3" t="s">
        <v>36</v>
      </c>
      <c r="D13" s="3" t="s">
        <v>37</v>
      </c>
      <c r="E13" s="4" t="n">
        <v>45000</v>
      </c>
      <c r="F13" s="5" t="n">
        <v>283.02</v>
      </c>
      <c r="G13" s="3" t="s">
        <v>38</v>
      </c>
    </row>
    <row r="14" customFormat="false" ht="15" hidden="false" customHeight="false" outlineLevel="0" collapsed="false">
      <c r="A14" s="3" t="n">
        <v>11</v>
      </c>
      <c r="B14" s="3" t="s">
        <v>8</v>
      </c>
      <c r="C14" s="3" t="s">
        <v>39</v>
      </c>
      <c r="D14" s="3" t="s">
        <v>40</v>
      </c>
      <c r="E14" s="4" t="n">
        <v>29999</v>
      </c>
      <c r="F14" s="5" t="n">
        <v>188.67</v>
      </c>
      <c r="G14" s="3" t="s">
        <v>41</v>
      </c>
    </row>
    <row r="15" customFormat="false" ht="15" hidden="false" customHeight="false" outlineLevel="0" collapsed="false">
      <c r="A15" s="3" t="n">
        <v>12</v>
      </c>
      <c r="B15" s="3" t="s">
        <v>8</v>
      </c>
      <c r="C15" s="3" t="s">
        <v>39</v>
      </c>
      <c r="D15" s="3" t="s">
        <v>40</v>
      </c>
      <c r="E15" s="4" t="n">
        <v>15001</v>
      </c>
      <c r="F15" s="5" t="n">
        <v>94.35</v>
      </c>
      <c r="G15" s="3" t="s">
        <v>41</v>
      </c>
    </row>
    <row r="16" customFormat="false" ht="15" hidden="false" customHeight="false" outlineLevel="0" collapsed="false">
      <c r="A16" s="3" t="n">
        <v>13</v>
      </c>
      <c r="B16" s="3" t="s">
        <v>8</v>
      </c>
      <c r="C16" s="3" t="s">
        <v>42</v>
      </c>
      <c r="D16" s="3" t="s">
        <v>43</v>
      </c>
      <c r="E16" s="4" t="n">
        <v>45000</v>
      </c>
      <c r="F16" s="5" t="n">
        <v>283.02</v>
      </c>
      <c r="G16" s="3" t="s">
        <v>44</v>
      </c>
    </row>
    <row r="17" customFormat="false" ht="15" hidden="false" customHeight="false" outlineLevel="0" collapsed="false">
      <c r="A17" s="3" t="n">
        <v>14</v>
      </c>
      <c r="B17" s="3" t="s">
        <v>8</v>
      </c>
      <c r="C17" s="3" t="s">
        <v>45</v>
      </c>
      <c r="D17" s="3" t="s">
        <v>46</v>
      </c>
      <c r="E17" s="4" t="n">
        <v>45000</v>
      </c>
      <c r="F17" s="5" t="n">
        <v>283.02</v>
      </c>
      <c r="G17" s="3" t="s">
        <v>47</v>
      </c>
    </row>
    <row r="18" customFormat="false" ht="15" hidden="false" customHeight="false" outlineLevel="0" collapsed="false">
      <c r="A18" s="3" t="n">
        <v>15</v>
      </c>
      <c r="B18" s="3" t="s">
        <v>8</v>
      </c>
      <c r="C18" s="3" t="s">
        <v>48</v>
      </c>
      <c r="D18" s="3" t="s">
        <v>49</v>
      </c>
      <c r="E18" s="4" t="n">
        <v>45001</v>
      </c>
      <c r="F18" s="5" t="n">
        <v>283.03</v>
      </c>
      <c r="G18" s="3" t="s">
        <v>50</v>
      </c>
    </row>
    <row r="19" customFormat="false" ht="15" hidden="false" customHeight="false" outlineLevel="0" collapsed="false">
      <c r="A19" s="3" t="n">
        <v>16</v>
      </c>
      <c r="B19" s="3" t="s">
        <v>8</v>
      </c>
      <c r="C19" s="3" t="s">
        <v>51</v>
      </c>
      <c r="D19" s="3" t="s">
        <v>52</v>
      </c>
      <c r="E19" s="4" t="n">
        <v>45003</v>
      </c>
      <c r="F19" s="5" t="n">
        <v>283.04</v>
      </c>
      <c r="G19" s="3" t="s">
        <v>53</v>
      </c>
    </row>
    <row r="20" customFormat="false" ht="15" hidden="false" customHeight="false" outlineLevel="0" collapsed="false">
      <c r="A20" s="3" t="n">
        <v>17</v>
      </c>
      <c r="B20" s="3" t="s">
        <v>8</v>
      </c>
      <c r="C20" s="3" t="s">
        <v>54</v>
      </c>
      <c r="D20" s="3" t="s">
        <v>55</v>
      </c>
      <c r="E20" s="4" t="n">
        <v>45000</v>
      </c>
      <c r="F20" s="5" t="n">
        <v>283.02</v>
      </c>
      <c r="G20" s="3" t="s">
        <v>56</v>
      </c>
    </row>
    <row r="21" customFormat="false" ht="15" hidden="false" customHeight="false" outlineLevel="0" collapsed="false">
      <c r="A21" s="3" t="n">
        <v>18</v>
      </c>
      <c r="B21" s="3" t="s">
        <v>8</v>
      </c>
      <c r="C21" s="3" t="s">
        <v>57</v>
      </c>
      <c r="D21" s="3" t="s">
        <v>58</v>
      </c>
      <c r="E21" s="4" t="n">
        <v>44996</v>
      </c>
      <c r="F21" s="5" t="n">
        <v>282.99</v>
      </c>
      <c r="G21" s="3" t="s">
        <v>59</v>
      </c>
    </row>
    <row r="22" customFormat="false" ht="15" hidden="false" customHeight="false" outlineLevel="0" collapsed="false">
      <c r="A22" s="3" t="n">
        <v>19</v>
      </c>
      <c r="B22" s="3" t="s">
        <v>8</v>
      </c>
      <c r="C22" s="3" t="s">
        <v>60</v>
      </c>
      <c r="D22" s="3" t="s">
        <v>61</v>
      </c>
      <c r="E22" s="4" t="n">
        <v>45002</v>
      </c>
      <c r="F22" s="5" t="n">
        <v>283.03</v>
      </c>
      <c r="G22" s="3" t="s">
        <v>62</v>
      </c>
    </row>
    <row r="23" customFormat="false" ht="15" hidden="false" customHeight="false" outlineLevel="0" collapsed="false">
      <c r="A23" s="3" t="n">
        <v>20</v>
      </c>
      <c r="B23" s="3" t="s">
        <v>8</v>
      </c>
      <c r="C23" s="3" t="s">
        <v>63</v>
      </c>
      <c r="D23" s="3" t="s">
        <v>64</v>
      </c>
      <c r="E23" s="4" t="n">
        <v>45001</v>
      </c>
      <c r="F23" s="5" t="n">
        <v>283.03</v>
      </c>
      <c r="G23" s="3" t="s">
        <v>65</v>
      </c>
    </row>
    <row r="24" customFormat="false" ht="15" hidden="false" customHeight="false" outlineLevel="0" collapsed="false">
      <c r="A24" s="3" t="n">
        <v>21</v>
      </c>
      <c r="B24" s="3" t="s">
        <v>8</v>
      </c>
      <c r="C24" s="3" t="s">
        <v>21</v>
      </c>
      <c r="D24" s="3" t="s">
        <v>22</v>
      </c>
      <c r="E24" s="4" t="n">
        <v>45000</v>
      </c>
      <c r="F24" s="5" t="n">
        <v>283.02</v>
      </c>
      <c r="G24" s="3" t="s">
        <v>66</v>
      </c>
    </row>
    <row r="25" customFormat="false" ht="15" hidden="false" customHeight="false" outlineLevel="0" collapsed="false">
      <c r="A25" s="3" t="n">
        <v>22</v>
      </c>
      <c r="B25" s="3" t="s">
        <v>8</v>
      </c>
      <c r="C25" s="3" t="s">
        <v>15</v>
      </c>
      <c r="D25" s="3" t="s">
        <v>16</v>
      </c>
      <c r="E25" s="4" t="n">
        <v>39898</v>
      </c>
      <c r="F25" s="5" t="n">
        <v>250.93</v>
      </c>
      <c r="G25" s="3" t="s">
        <v>67</v>
      </c>
    </row>
    <row r="26" customFormat="false" ht="15" hidden="false" customHeight="false" outlineLevel="0" collapsed="false">
      <c r="A26" s="3" t="n">
        <v>23</v>
      </c>
      <c r="B26" s="3" t="s">
        <v>8</v>
      </c>
      <c r="C26" s="3" t="s">
        <v>27</v>
      </c>
      <c r="D26" s="3" t="s">
        <v>28</v>
      </c>
      <c r="E26" s="4" t="n">
        <v>45000</v>
      </c>
      <c r="F26" s="5" t="n">
        <v>283.02</v>
      </c>
      <c r="G26" s="3" t="s">
        <v>68</v>
      </c>
    </row>
    <row r="27" customFormat="false" ht="15" hidden="false" customHeight="false" outlineLevel="0" collapsed="false">
      <c r="A27" s="3" t="n">
        <v>24</v>
      </c>
      <c r="B27" s="3" t="s">
        <v>8</v>
      </c>
      <c r="C27" s="3" t="s">
        <v>24</v>
      </c>
      <c r="D27" s="3" t="s">
        <v>25</v>
      </c>
      <c r="E27" s="4" t="n">
        <v>45001</v>
      </c>
      <c r="F27" s="5" t="n">
        <v>283.03</v>
      </c>
      <c r="G27" s="3" t="s">
        <v>69</v>
      </c>
    </row>
    <row r="28" customFormat="false" ht="15" hidden="false" customHeight="false" outlineLevel="0" collapsed="false">
      <c r="A28" s="3" t="n">
        <v>25</v>
      </c>
      <c r="B28" s="3" t="s">
        <v>8</v>
      </c>
      <c r="C28" s="3" t="s">
        <v>9</v>
      </c>
      <c r="D28" s="3" t="s">
        <v>10</v>
      </c>
      <c r="E28" s="4" t="n">
        <v>40001</v>
      </c>
      <c r="F28" s="5" t="n">
        <v>251.58</v>
      </c>
      <c r="G28" s="3" t="s">
        <v>70</v>
      </c>
    </row>
    <row r="29" customFormat="false" ht="15" hidden="false" customHeight="false" outlineLevel="0" collapsed="false">
      <c r="A29" s="3" t="n">
        <v>26</v>
      </c>
      <c r="B29" s="3" t="s">
        <v>8</v>
      </c>
      <c r="C29" s="3" t="s">
        <v>30</v>
      </c>
      <c r="D29" s="3" t="s">
        <v>31</v>
      </c>
      <c r="E29" s="4" t="n">
        <v>44980</v>
      </c>
      <c r="F29" s="5" t="n">
        <v>282.89</v>
      </c>
      <c r="G29" s="3" t="s">
        <v>71</v>
      </c>
    </row>
    <row r="30" customFormat="false" ht="15" hidden="false" customHeight="false" outlineLevel="0" collapsed="false">
      <c r="A30" s="3" t="n">
        <v>27</v>
      </c>
      <c r="B30" s="3" t="s">
        <v>8</v>
      </c>
      <c r="C30" s="3" t="s">
        <v>33</v>
      </c>
      <c r="D30" s="3" t="s">
        <v>34</v>
      </c>
      <c r="E30" s="4" t="n">
        <v>45000</v>
      </c>
      <c r="F30" s="5" t="n">
        <v>283.02</v>
      </c>
      <c r="G30" s="3" t="s">
        <v>72</v>
      </c>
    </row>
    <row r="31" customFormat="false" ht="15" hidden="false" customHeight="false" outlineLevel="0" collapsed="false">
      <c r="A31" s="3" t="n">
        <v>28</v>
      </c>
      <c r="B31" s="3" t="s">
        <v>8</v>
      </c>
      <c r="C31" s="3" t="s">
        <v>18</v>
      </c>
      <c r="D31" s="3" t="s">
        <v>19</v>
      </c>
      <c r="E31" s="4" t="n">
        <v>40000</v>
      </c>
      <c r="F31" s="5" t="n">
        <v>251.57</v>
      </c>
      <c r="G31" s="3" t="s">
        <v>73</v>
      </c>
    </row>
    <row r="32" customFormat="false" ht="15" hidden="false" customHeight="false" outlineLevel="0" collapsed="false">
      <c r="A32" s="3" t="n">
        <v>29</v>
      </c>
      <c r="B32" s="3" t="s">
        <v>8</v>
      </c>
      <c r="C32" s="3" t="s">
        <v>12</v>
      </c>
      <c r="D32" s="3" t="s">
        <v>13</v>
      </c>
      <c r="E32" s="4" t="n">
        <v>39997</v>
      </c>
      <c r="F32" s="5" t="n">
        <v>251.55</v>
      </c>
      <c r="G32" s="3" t="s">
        <v>74</v>
      </c>
    </row>
    <row r="33" customFormat="false" ht="15" hidden="false" customHeight="false" outlineLevel="0" collapsed="false">
      <c r="A33" s="3" t="n">
        <v>30</v>
      </c>
      <c r="B33" s="3" t="s">
        <v>8</v>
      </c>
      <c r="C33" s="3" t="s">
        <v>75</v>
      </c>
      <c r="D33" s="3" t="s">
        <v>76</v>
      </c>
      <c r="E33" s="4" t="n">
        <v>40001</v>
      </c>
      <c r="F33" s="5" t="n">
        <v>251.58</v>
      </c>
      <c r="G33" s="3" t="s">
        <v>77</v>
      </c>
    </row>
    <row r="34" customFormat="false" ht="15" hidden="false" customHeight="false" outlineLevel="0" collapsed="false">
      <c r="A34" s="3" t="n">
        <v>31</v>
      </c>
      <c r="B34" s="3" t="s">
        <v>8</v>
      </c>
      <c r="C34" s="3" t="s">
        <v>57</v>
      </c>
      <c r="D34" s="3" t="s">
        <v>58</v>
      </c>
      <c r="E34" s="4" t="n">
        <v>45000</v>
      </c>
      <c r="F34" s="5" t="n">
        <v>283.02</v>
      </c>
      <c r="G34" s="3" t="s">
        <v>78</v>
      </c>
    </row>
    <row r="35" customFormat="false" ht="15" hidden="false" customHeight="false" outlineLevel="0" collapsed="false">
      <c r="A35" s="3" t="n">
        <v>32</v>
      </c>
      <c r="B35" s="3" t="s">
        <v>8</v>
      </c>
      <c r="C35" s="3" t="s">
        <v>42</v>
      </c>
      <c r="D35" s="3" t="s">
        <v>43</v>
      </c>
      <c r="E35" s="4" t="n">
        <v>45002</v>
      </c>
      <c r="F35" s="5" t="n">
        <v>283.03</v>
      </c>
      <c r="G35" s="3" t="s">
        <v>79</v>
      </c>
    </row>
    <row r="36" customFormat="false" ht="15" hidden="false" customHeight="false" outlineLevel="0" collapsed="false">
      <c r="A36" s="3" t="n">
        <v>33</v>
      </c>
      <c r="B36" s="3" t="s">
        <v>8</v>
      </c>
      <c r="C36" s="3" t="s">
        <v>54</v>
      </c>
      <c r="D36" s="3" t="s">
        <v>55</v>
      </c>
      <c r="E36" s="4" t="n">
        <v>45002</v>
      </c>
      <c r="F36" s="5" t="n">
        <v>283.03</v>
      </c>
      <c r="G36" s="3" t="s">
        <v>80</v>
      </c>
    </row>
    <row r="37" customFormat="false" ht="15" hidden="false" customHeight="false" outlineLevel="0" collapsed="false">
      <c r="A37" s="3" t="n">
        <v>34</v>
      </c>
      <c r="B37" s="3" t="s">
        <v>8</v>
      </c>
      <c r="C37" s="3" t="s">
        <v>36</v>
      </c>
      <c r="D37" s="3" t="s">
        <v>37</v>
      </c>
      <c r="E37" s="4" t="n">
        <v>45001</v>
      </c>
      <c r="F37" s="5" t="n">
        <v>283.03</v>
      </c>
      <c r="G37" s="3" t="s">
        <v>81</v>
      </c>
    </row>
    <row r="38" customFormat="false" ht="15" hidden="false" customHeight="false" outlineLevel="0" collapsed="false">
      <c r="A38" s="3" t="n">
        <v>35</v>
      </c>
      <c r="B38" s="3" t="s">
        <v>8</v>
      </c>
      <c r="C38" s="3" t="s">
        <v>60</v>
      </c>
      <c r="D38" s="3" t="s">
        <v>61</v>
      </c>
      <c r="E38" s="4" t="n">
        <v>45000</v>
      </c>
      <c r="F38" s="5" t="n">
        <v>283.02</v>
      </c>
      <c r="G38" s="3" t="s">
        <v>82</v>
      </c>
    </row>
    <row r="39" customFormat="false" ht="15" hidden="false" customHeight="false" outlineLevel="0" collapsed="false">
      <c r="A39" s="3" t="n">
        <v>36</v>
      </c>
      <c r="B39" s="3" t="s">
        <v>8</v>
      </c>
      <c r="C39" s="3" t="s">
        <v>21</v>
      </c>
      <c r="D39" s="3" t="s">
        <v>22</v>
      </c>
      <c r="E39" s="4" t="n">
        <v>45000</v>
      </c>
      <c r="F39" s="5" t="n">
        <v>283.02</v>
      </c>
      <c r="G39" s="3" t="s">
        <v>83</v>
      </c>
    </row>
    <row r="40" customFormat="false" ht="15" hidden="false" customHeight="false" outlineLevel="0" collapsed="false">
      <c r="A40" s="3" t="n">
        <v>37</v>
      </c>
      <c r="B40" s="3" t="s">
        <v>8</v>
      </c>
      <c r="C40" s="3" t="s">
        <v>51</v>
      </c>
      <c r="D40" s="3" t="s">
        <v>52</v>
      </c>
      <c r="E40" s="4" t="n">
        <v>45000</v>
      </c>
      <c r="F40" s="5" t="n">
        <v>283.02</v>
      </c>
      <c r="G40" s="3" t="s">
        <v>84</v>
      </c>
    </row>
    <row r="41" customFormat="false" ht="15" hidden="false" customHeight="false" outlineLevel="0" collapsed="false">
      <c r="A41" s="3" t="n">
        <v>38</v>
      </c>
      <c r="B41" s="3" t="s">
        <v>8</v>
      </c>
      <c r="C41" s="3" t="s">
        <v>45</v>
      </c>
      <c r="D41" s="3" t="s">
        <v>46</v>
      </c>
      <c r="E41" s="4" t="n">
        <v>45001</v>
      </c>
      <c r="F41" s="5" t="n">
        <v>283.03</v>
      </c>
      <c r="G41" s="3" t="s">
        <v>85</v>
      </c>
    </row>
    <row r="42" customFormat="false" ht="15" hidden="false" customHeight="false" outlineLevel="0" collapsed="false">
      <c r="A42" s="3" t="n">
        <v>39</v>
      </c>
      <c r="B42" s="3" t="s">
        <v>8</v>
      </c>
      <c r="C42" s="3" t="s">
        <v>48</v>
      </c>
      <c r="D42" s="3" t="s">
        <v>49</v>
      </c>
      <c r="E42" s="4" t="n">
        <v>45001</v>
      </c>
      <c r="F42" s="5" t="n">
        <v>283.03</v>
      </c>
      <c r="G42" s="3" t="s">
        <v>86</v>
      </c>
    </row>
    <row r="43" customFormat="false" ht="15" hidden="false" customHeight="false" outlineLevel="0" collapsed="false">
      <c r="A43" s="3" t="n">
        <v>40</v>
      </c>
      <c r="B43" s="3" t="s">
        <v>8</v>
      </c>
      <c r="C43" s="3" t="s">
        <v>24</v>
      </c>
      <c r="D43" s="3" t="s">
        <v>25</v>
      </c>
      <c r="E43" s="4" t="n">
        <v>45001</v>
      </c>
      <c r="F43" s="5" t="n">
        <v>283.03</v>
      </c>
      <c r="G43" s="3" t="s">
        <v>87</v>
      </c>
    </row>
    <row r="44" customFormat="false" ht="15" hidden="false" customHeight="false" outlineLevel="0" collapsed="false">
      <c r="A44" s="3" t="n">
        <v>41</v>
      </c>
      <c r="B44" s="3" t="s">
        <v>8</v>
      </c>
      <c r="C44" s="3" t="s">
        <v>30</v>
      </c>
      <c r="D44" s="3" t="s">
        <v>31</v>
      </c>
      <c r="E44" s="4" t="n">
        <v>45000</v>
      </c>
      <c r="F44" s="5" t="n">
        <v>283.02</v>
      </c>
      <c r="G44" s="3" t="s">
        <v>88</v>
      </c>
    </row>
    <row r="45" customFormat="false" ht="15" hidden="false" customHeight="false" outlineLevel="0" collapsed="false">
      <c r="A45" s="3" t="n">
        <v>42</v>
      </c>
      <c r="B45" s="3" t="s">
        <v>8</v>
      </c>
      <c r="C45" s="3" t="s">
        <v>27</v>
      </c>
      <c r="D45" s="3" t="s">
        <v>28</v>
      </c>
      <c r="E45" s="4" t="n">
        <v>45000</v>
      </c>
      <c r="F45" s="5" t="n">
        <v>283.02</v>
      </c>
      <c r="G45" s="3" t="s">
        <v>89</v>
      </c>
    </row>
    <row r="46" customFormat="false" ht="15" hidden="false" customHeight="false" outlineLevel="0" collapsed="false">
      <c r="A46" s="3" t="n">
        <v>43</v>
      </c>
      <c r="B46" s="3" t="s">
        <v>8</v>
      </c>
      <c r="C46" s="3" t="s">
        <v>18</v>
      </c>
      <c r="D46" s="3" t="s">
        <v>19</v>
      </c>
      <c r="E46" s="4" t="n">
        <v>40000</v>
      </c>
      <c r="F46" s="5" t="n">
        <v>251.57</v>
      </c>
      <c r="G46" s="3" t="s">
        <v>90</v>
      </c>
    </row>
    <row r="47" customFormat="false" ht="15" hidden="false" customHeight="false" outlineLevel="0" collapsed="false">
      <c r="A47" s="3" t="n">
        <v>44</v>
      </c>
      <c r="B47" s="3" t="s">
        <v>8</v>
      </c>
      <c r="C47" s="3" t="s">
        <v>33</v>
      </c>
      <c r="D47" s="3" t="s">
        <v>34</v>
      </c>
      <c r="E47" s="4" t="n">
        <v>45000</v>
      </c>
      <c r="F47" s="5" t="n">
        <v>283.02</v>
      </c>
      <c r="G47" s="3" t="s">
        <v>91</v>
      </c>
    </row>
    <row r="48" customFormat="false" ht="15" hidden="false" customHeight="false" outlineLevel="0" collapsed="false">
      <c r="A48" s="3" t="n">
        <v>45</v>
      </c>
      <c r="B48" s="3" t="s">
        <v>92</v>
      </c>
      <c r="C48" s="3" t="s">
        <v>93</v>
      </c>
      <c r="D48" s="3" t="s">
        <v>10</v>
      </c>
      <c r="E48" s="4" t="n">
        <v>40001</v>
      </c>
      <c r="F48" s="5" t="n">
        <v>251.58</v>
      </c>
      <c r="G48" s="3" t="s">
        <v>94</v>
      </c>
    </row>
    <row r="49" customFormat="false" ht="15" hidden="false" customHeight="false" outlineLevel="0" collapsed="false">
      <c r="A49" s="3" t="n">
        <v>46</v>
      </c>
      <c r="B49" s="3" t="s">
        <v>92</v>
      </c>
      <c r="C49" s="3" t="s">
        <v>63</v>
      </c>
      <c r="D49" s="3" t="s">
        <v>64</v>
      </c>
      <c r="E49" s="4" t="n">
        <v>44999</v>
      </c>
      <c r="F49" s="5" t="n">
        <v>283.01</v>
      </c>
      <c r="G49" s="3" t="s">
        <v>95</v>
      </c>
    </row>
    <row r="50" customFormat="false" ht="15" hidden="false" customHeight="false" outlineLevel="0" collapsed="false">
      <c r="A50" s="3" t="n">
        <v>47</v>
      </c>
      <c r="B50" s="3" t="s">
        <v>92</v>
      </c>
      <c r="C50" s="3" t="s">
        <v>15</v>
      </c>
      <c r="D50" s="3" t="s">
        <v>96</v>
      </c>
      <c r="E50" s="4" t="n">
        <v>39971</v>
      </c>
      <c r="F50" s="5" t="n">
        <v>251.39</v>
      </c>
      <c r="G50" s="3" t="s">
        <v>97</v>
      </c>
    </row>
    <row r="51" customFormat="false" ht="15" hidden="false" customHeight="false" outlineLevel="0" collapsed="false">
      <c r="A51" s="3" t="n">
        <v>48</v>
      </c>
      <c r="B51" s="3" t="s">
        <v>92</v>
      </c>
      <c r="C51" s="3" t="s">
        <v>12</v>
      </c>
      <c r="D51" s="3" t="s">
        <v>13</v>
      </c>
      <c r="E51" s="4" t="n">
        <v>40000</v>
      </c>
      <c r="F51" s="5" t="n">
        <v>251.57</v>
      </c>
      <c r="G51" s="3" t="s">
        <v>98</v>
      </c>
    </row>
    <row r="52" customFormat="false" ht="15" hidden="false" customHeight="false" outlineLevel="0" collapsed="false">
      <c r="A52" s="3" t="n">
        <v>49</v>
      </c>
      <c r="B52" s="3" t="s">
        <v>99</v>
      </c>
      <c r="C52" s="3" t="s">
        <v>100</v>
      </c>
      <c r="D52" s="3" t="s">
        <v>22</v>
      </c>
      <c r="E52" s="4" t="n">
        <v>45000</v>
      </c>
      <c r="F52" s="5" t="n">
        <v>283.02</v>
      </c>
      <c r="G52" s="3" t="s">
        <v>101</v>
      </c>
    </row>
    <row r="53" customFormat="false" ht="15" hidden="false" customHeight="false" outlineLevel="0" collapsed="false">
      <c r="A53" s="3" t="n">
        <v>50</v>
      </c>
      <c r="B53" s="3" t="s">
        <v>99</v>
      </c>
      <c r="C53" s="3" t="s">
        <v>102</v>
      </c>
      <c r="D53" s="3" t="s">
        <v>40</v>
      </c>
      <c r="E53" s="4" t="n">
        <v>44996</v>
      </c>
      <c r="F53" s="5" t="n">
        <v>282.99</v>
      </c>
      <c r="G53" s="3" t="s">
        <v>103</v>
      </c>
    </row>
    <row r="54" customFormat="false" ht="15" hidden="false" customHeight="false" outlineLevel="0" collapsed="false">
      <c r="A54" s="3" t="n">
        <v>51</v>
      </c>
      <c r="B54" s="3" t="s">
        <v>99</v>
      </c>
      <c r="C54" s="3" t="s">
        <v>104</v>
      </c>
      <c r="D54" s="3" t="s">
        <v>25</v>
      </c>
      <c r="E54" s="4" t="n">
        <v>45002</v>
      </c>
      <c r="F54" s="5" t="n">
        <v>283.03</v>
      </c>
      <c r="G54" s="3" t="s">
        <v>105</v>
      </c>
    </row>
    <row r="55" customFormat="false" ht="15" hidden="false" customHeight="false" outlineLevel="0" collapsed="false">
      <c r="A55" s="3" t="n">
        <v>52</v>
      </c>
      <c r="B55" s="3" t="s">
        <v>99</v>
      </c>
      <c r="C55" s="3" t="s">
        <v>106</v>
      </c>
      <c r="D55" s="3" t="s">
        <v>31</v>
      </c>
      <c r="E55" s="4" t="n">
        <v>45000</v>
      </c>
      <c r="F55" s="5" t="n">
        <v>283.02</v>
      </c>
      <c r="G55" s="3" t="s">
        <v>107</v>
      </c>
    </row>
    <row r="56" customFormat="false" ht="15" hidden="false" customHeight="false" outlineLevel="0" collapsed="false">
      <c r="A56" s="3" t="n">
        <v>53</v>
      </c>
      <c r="B56" s="3" t="s">
        <v>99</v>
      </c>
      <c r="C56" s="3" t="s">
        <v>108</v>
      </c>
      <c r="D56" s="3" t="s">
        <v>52</v>
      </c>
      <c r="E56" s="4" t="n">
        <v>45000</v>
      </c>
      <c r="F56" s="5" t="n">
        <v>283.02</v>
      </c>
      <c r="G56" s="3" t="s">
        <v>109</v>
      </c>
    </row>
    <row r="57" customFormat="false" ht="15" hidden="false" customHeight="false" outlineLevel="0" collapsed="false">
      <c r="A57" s="3" t="n">
        <v>54</v>
      </c>
      <c r="B57" s="3" t="s">
        <v>99</v>
      </c>
      <c r="C57" s="3" t="s">
        <v>110</v>
      </c>
      <c r="D57" s="3" t="s">
        <v>55</v>
      </c>
      <c r="E57" s="4" t="n">
        <v>45006</v>
      </c>
      <c r="F57" s="5" t="n">
        <v>283.06</v>
      </c>
      <c r="G57" s="3" t="s">
        <v>111</v>
      </c>
    </row>
    <row r="58" customFormat="false" ht="15" hidden="false" customHeight="false" outlineLevel="0" collapsed="false">
      <c r="A58" s="3" t="n">
        <v>55</v>
      </c>
      <c r="B58" s="3" t="s">
        <v>112</v>
      </c>
      <c r="C58" s="3" t="s">
        <v>113</v>
      </c>
      <c r="D58" s="3" t="s">
        <v>37</v>
      </c>
      <c r="E58" s="4" t="n">
        <v>34353</v>
      </c>
      <c r="F58" s="5" t="n">
        <v>216.06</v>
      </c>
      <c r="G58" s="3" t="s">
        <v>114</v>
      </c>
    </row>
    <row r="59" customFormat="false" ht="15" hidden="false" customHeight="false" outlineLevel="0" collapsed="false">
      <c r="A59" s="3" t="n">
        <v>56</v>
      </c>
      <c r="B59" s="3" t="s">
        <v>112</v>
      </c>
      <c r="C59" s="3" t="s">
        <v>115</v>
      </c>
      <c r="D59" s="3" t="s">
        <v>34</v>
      </c>
      <c r="E59" s="4" t="n">
        <v>34345</v>
      </c>
      <c r="F59" s="5" t="n">
        <v>216.01</v>
      </c>
      <c r="G59" s="3" t="s">
        <v>116</v>
      </c>
    </row>
    <row r="60" customFormat="false" ht="15" hidden="false" customHeight="false" outlineLevel="0" collapsed="false">
      <c r="A60" s="6"/>
      <c r="B60" s="6"/>
      <c r="C60" s="6"/>
      <c r="D60" s="6" t="s">
        <v>117</v>
      </c>
      <c r="E60" s="7" t="n">
        <f aca="false">SUM(E4:E59)</f>
        <v>2386205</v>
      </c>
      <c r="F60" s="8" t="n">
        <f aca="false">ROUND(E60/159,2)</f>
        <v>15007.58</v>
      </c>
      <c r="G60" s="6"/>
    </row>
    <row r="61" customFormat="false" ht="15" hidden="false" customHeight="false" outlineLevel="0" collapsed="false">
      <c r="A61" s="6"/>
      <c r="B61" s="6"/>
      <c r="C61" s="6"/>
      <c r="D61" s="6" t="s">
        <v>118</v>
      </c>
      <c r="E61" s="9" t="n">
        <v>0.0005</v>
      </c>
      <c r="F61" s="8"/>
      <c r="G61" s="6"/>
    </row>
    <row r="62" customFormat="false" ht="15" hidden="false" customHeight="false" outlineLevel="0" collapsed="false">
      <c r="A62" s="6"/>
      <c r="B62" s="6"/>
      <c r="C62" s="6"/>
      <c r="D62" s="6" t="s">
        <v>119</v>
      </c>
      <c r="E62" s="7" t="n">
        <f aca="false">ROUND(E60*(1-E61),0)</f>
        <v>2385012</v>
      </c>
      <c r="F62" s="8" t="n">
        <f aca="false">ROUND(F60*(1-E61),2)</f>
        <v>15000.08</v>
      </c>
      <c r="G62" s="6"/>
    </row>
    <row r="64" customFormat="false" ht="15" hidden="false" customHeight="false" outlineLevel="0" collapsed="false">
      <c r="B64" s="10" t="s">
        <v>120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2026-10-29T14:01:36Z</dcterms:created>
  <dc:creator>openpyxl</dc:creator>
  <dc:description/>
  <dc:language>en-US</dc:language>
  <cp:lastModifiedBy/>
  <dcterms:modified xsi:type="dcterms:W3CDTF">2026-10-29T14:01:36Z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